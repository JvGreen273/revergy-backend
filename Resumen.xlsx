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vergycol-my.sharepoint.com/personal/amonroy_revergycol_onmicrosoft_com/Documents/Documentos/Andres/Azure/revergy-chat-demo/"/>
    </mc:Choice>
  </mc:AlternateContent>
  <xr:revisionPtr revIDLastSave="67" documentId="8_{51DD9D0B-7091-4426-86E8-24B564AE4A23}" xr6:coauthVersionLast="47" xr6:coauthVersionMax="47" xr10:uidLastSave="{0F54C118-6002-47A9-BB77-1F4FE3F67FB0}"/>
  <bookViews>
    <workbookView xWindow="-108" yWindow="-108" windowWidth="23256" windowHeight="12456" xr2:uid="{EE253C9A-763A-459D-9A68-3A4DF4B01218}"/>
  </bookViews>
  <sheets>
    <sheet name="Resumen" sheetId="1" r:id="rId1"/>
  </sheets>
  <externalReferences>
    <externalReference r:id="rId2"/>
  </externalReferences>
  <definedNames>
    <definedName name="Eje_general">[1]DASH!$D$10</definedName>
    <definedName name="Pro_general">[1]DASH!$D$9</definedName>
    <definedName name="SPI">[1]DASH!$D$15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C15" i="1"/>
</calcChain>
</file>

<file path=xl/sharedStrings.xml><?xml version="1.0" encoding="utf-8"?>
<sst xmlns="http://schemas.openxmlformats.org/spreadsheetml/2006/main" count="23" uniqueCount="23">
  <si>
    <t>Indicador</t>
  </si>
  <si>
    <t>Avance Real</t>
  </si>
  <si>
    <t>Avance Plan</t>
  </si>
  <si>
    <t>SPI</t>
  </si>
  <si>
    <t>Hincas_Instaladas</t>
  </si>
  <si>
    <t>Hincas_Totales</t>
  </si>
  <si>
    <t>Trackers_Instalados</t>
  </si>
  <si>
    <t>Trackers_Totales</t>
  </si>
  <si>
    <t>Modulos_Instalados</t>
  </si>
  <si>
    <t>Modulos_Totales</t>
  </si>
  <si>
    <t>Facturación Actual</t>
  </si>
  <si>
    <t>Facturación_Plan</t>
  </si>
  <si>
    <t>Facturacion_Porcentaje</t>
  </si>
  <si>
    <t>Mano_de_Obra_Directa</t>
  </si>
  <si>
    <t>Mano_de_Obra_Indirecta</t>
  </si>
  <si>
    <t>Mano_de_Obra_Total</t>
  </si>
  <si>
    <t>Generación</t>
  </si>
  <si>
    <t>Porcentaje de Generación</t>
  </si>
  <si>
    <t>Dossier</t>
  </si>
  <si>
    <t>Rendimientos Tendido cable solar</t>
  </si>
  <si>
    <t>Balance de No Conformidades</t>
  </si>
  <si>
    <t>Valor</t>
  </si>
  <si>
    <t>Actualmente SDORO tiene 25 abiertas y 36 cerrradas, para un total de 61. 
SAG tiene 4 cerradas en total.
Ingetec tiene 6 abiertas y 34 cerrradas, para un total de 38.
EIATEC 2 cerradas en total.
Para mayor detalle revisa el apartado de Gestion de Calidad, boton No Conformidades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</si>
</sst>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_Seguimiento_cronograma_final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taCritica_Plan Accion"/>
      <sheetName val="RutaCritica_Prog"/>
      <sheetName val="RutaCritica"/>
      <sheetName val="Hoja3"/>
      <sheetName val="Hoja2"/>
      <sheetName val="Ejecutado_new"/>
      <sheetName val="Act.Principales"/>
      <sheetName val="RMTA"/>
      <sheetName val="Plan_Accion"/>
      <sheetName val="Data_curvas"/>
      <sheetName val="Acelerado"/>
      <sheetName val="RellenosBT"/>
      <sheetName val="Programado"/>
      <sheetName val="COMM"/>
      <sheetName val="Data_Areas"/>
      <sheetName val="Resumen_General"/>
      <sheetName val="Construcción"/>
      <sheetName val="Procura"/>
      <sheetName val="MDT"/>
      <sheetName val="DASH"/>
      <sheetName val="Resumen"/>
      <sheetName val="RellenosMT"/>
      <sheetName val="StringBox"/>
      <sheetName val="MDT-RW "/>
      <sheetName val="BT"/>
      <sheetName val="MT"/>
      <sheetName val="Drenajes"/>
      <sheetName val="Modulos"/>
      <sheetName val="Hincado"/>
      <sheetName val="Vallado"/>
      <sheetName val="Trackers"/>
      <sheetName val="Electrocentros"/>
      <sheetName val="Cant.Totales"/>
      <sheetName val="Garitas"/>
      <sheetName val="Horas_Paro"/>
      <sheetName val="Costo"/>
      <sheetName val="Ordenes de Cambio"/>
      <sheetName val="Histogramas"/>
      <sheetName val="Master_ING"/>
      <sheetName val="Coordena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D9">
            <v>0.93340000000000001</v>
          </cell>
        </row>
        <row r="10">
          <cell r="D10">
            <v>0.97750292549511053</v>
          </cell>
        </row>
        <row r="15">
          <cell r="D15">
            <v>1.0472497594762273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317DE9-CD5D-4582-A16E-7E367115ECFF}" name="Tabla2" displayName="Tabla2" ref="B3:C23" totalsRowShown="0">
  <autoFilter ref="B3:C23" xr:uid="{6F317DE9-CD5D-4582-A16E-7E367115ECFF}"/>
  <tableColumns count="2">
    <tableColumn id="1" xr3:uid="{849B4657-FE56-4AAD-BB84-880CCD0FBD2F}" name="Indicador"/>
    <tableColumn id="2" xr3:uid="{21A31A7E-1FA3-4468-AE6C-BD738ED6387C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ED1A-8AF6-4991-AEA2-325F8C5B8DEE}">
  <dimension ref="B3:F23"/>
  <sheetViews>
    <sheetView tabSelected="1" workbookViewId="0">
      <selection activeCell="E21" sqref="E21"/>
    </sheetView>
  </sheetViews>
  <sheetFormatPr baseColWidth="10" defaultRowHeight="15" x14ac:dyDescent="0.25"/>
  <cols>
    <col min="2" max="2" width="31.5703125" bestFit="1" customWidth="1"/>
    <col min="3" max="3" width="47.28515625" customWidth="1"/>
  </cols>
  <sheetData>
    <row r="3" spans="2:3" x14ac:dyDescent="0.25">
      <c r="B3" t="s">
        <v>0</v>
      </c>
      <c r="C3" t="s">
        <v>21</v>
      </c>
    </row>
    <row r="4" spans="2:3" x14ac:dyDescent="0.25">
      <c r="B4" t="s">
        <v>1</v>
      </c>
      <c r="C4">
        <v>88.63</v>
      </c>
    </row>
    <row r="5" spans="2:3" x14ac:dyDescent="0.25">
      <c r="B5" t="s">
        <v>2</v>
      </c>
      <c r="C5">
        <v>85.73</v>
      </c>
    </row>
    <row r="6" spans="2:3" x14ac:dyDescent="0.25">
      <c r="B6" t="s">
        <v>3</v>
      </c>
      <c r="C6">
        <v>1.034</v>
      </c>
    </row>
    <row r="7" spans="2:3" x14ac:dyDescent="0.25">
      <c r="B7" t="s">
        <v>4</v>
      </c>
      <c r="C7">
        <v>94670</v>
      </c>
    </row>
    <row r="8" spans="2:3" x14ac:dyDescent="0.25">
      <c r="B8" t="s">
        <v>5</v>
      </c>
      <c r="C8">
        <v>101970</v>
      </c>
    </row>
    <row r="9" spans="2:3" x14ac:dyDescent="0.25">
      <c r="B9" t="s">
        <v>6</v>
      </c>
      <c r="C9">
        <v>4336</v>
      </c>
    </row>
    <row r="10" spans="2:3" x14ac:dyDescent="0.25">
      <c r="B10" t="s">
        <v>7</v>
      </c>
      <c r="C10">
        <v>5733</v>
      </c>
    </row>
    <row r="11" spans="2:3" x14ac:dyDescent="0.25">
      <c r="B11" t="s">
        <v>8</v>
      </c>
      <c r="C11">
        <v>347638</v>
      </c>
    </row>
    <row r="12" spans="2:3" x14ac:dyDescent="0.25">
      <c r="B12" t="s">
        <v>9</v>
      </c>
      <c r="C12">
        <v>511380</v>
      </c>
    </row>
    <row r="13" spans="2:3" x14ac:dyDescent="0.25">
      <c r="B13" t="s">
        <v>10</v>
      </c>
      <c r="C13">
        <v>338516184103.20099</v>
      </c>
    </row>
    <row r="14" spans="2:3" x14ac:dyDescent="0.25">
      <c r="B14" t="s">
        <v>11</v>
      </c>
      <c r="C14">
        <v>310450106799.51917</v>
      </c>
    </row>
    <row r="15" spans="2:3" x14ac:dyDescent="0.25">
      <c r="B15" t="s">
        <v>12</v>
      </c>
      <c r="C15">
        <f>+C13/C14</f>
        <v>1.0904044697971587</v>
      </c>
    </row>
    <row r="16" spans="2:3" x14ac:dyDescent="0.25">
      <c r="B16" t="s">
        <v>13</v>
      </c>
      <c r="C16">
        <v>1237</v>
      </c>
    </row>
    <row r="17" spans="2:6" x14ac:dyDescent="0.25">
      <c r="B17" t="s">
        <v>14</v>
      </c>
      <c r="C17">
        <v>251</v>
      </c>
    </row>
    <row r="18" spans="2:6" x14ac:dyDescent="0.25">
      <c r="B18" t="s">
        <v>15</v>
      </c>
      <c r="C18">
        <f>+C16+C17</f>
        <v>1488</v>
      </c>
    </row>
    <row r="19" spans="2:6" x14ac:dyDescent="0.25">
      <c r="B19" t="s">
        <v>16</v>
      </c>
      <c r="C19">
        <v>157.30000000000001</v>
      </c>
    </row>
    <row r="20" spans="2:6" x14ac:dyDescent="0.25">
      <c r="B20" t="s">
        <v>17</v>
      </c>
      <c r="C20">
        <v>47.67</v>
      </c>
    </row>
    <row r="21" spans="2:6" x14ac:dyDescent="0.25">
      <c r="B21" t="s">
        <v>18</v>
      </c>
      <c r="C21">
        <v>67.040000000000006</v>
      </c>
    </row>
    <row r="22" spans="2:6" x14ac:dyDescent="0.25">
      <c r="B22" t="s">
        <v>19</v>
      </c>
      <c r="C22">
        <v>2028</v>
      </c>
    </row>
    <row r="23" spans="2:6" ht="120" x14ac:dyDescent="0.25">
      <c r="B23" t="s">
        <v>20</v>
      </c>
      <c r="C23" s="1" t="s">
        <v>22</v>
      </c>
      <c r="F23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 Monroy</dc:creator>
  <cp:lastModifiedBy>Andres  Monroy</cp:lastModifiedBy>
  <dcterms:created xsi:type="dcterms:W3CDTF">2026-02-17T17:01:32Z</dcterms:created>
  <dcterms:modified xsi:type="dcterms:W3CDTF">2026-02-18T17:20:55Z</dcterms:modified>
</cp:coreProperties>
</file>